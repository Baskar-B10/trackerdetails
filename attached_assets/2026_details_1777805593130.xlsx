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nding" sheetId="1" r:id="rId5"/>
    <sheet state="visible" name="InvestmentSharing" sheetId="2" r:id="rId6"/>
    <sheet state="visible" name="InterestLoan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tc={362a3353-2d39-44d9-9b0d-0e5ae4329f03}</author>
    <author>tc={757380b4-c757-419a-9417-0714f90d643e}</author>
    <author>tc={e1532de5-ead4-4a0f-a168-689e893aaaa5}</author>
    <author>tc={e952dc23-d1e6-498c-8a6f-8722bef879a5}</author>
    <author>tc={eaf3cdd2-975a-4ced-9d61-131d7db0dc3b}</author>
    <author>tc={f4c51557-a431-4e75-9c16-4d4554a3857c}</author>
    <author>tc={fd3967a8-9b2a-43a1-ae53-11e8591be00a}</author>
  </authors>
  <commentList>
    <comment authorId="0" xr:uid="{362a3353-2d39-44d9-9b0d-0e5ae4329f03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marriage shopping, exhibition shopping , dress and inners and steel drum and jewelery set for marriage and kolusu
</t>
      </text>
    </comment>
    <comment authorId="1" xr:uid="{757380b4-c757-419a-9417-0714f90d643e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marriage gift for praveen
</t>
      </text>
    </comment>
    <comment authorId="2" xr:uid="{e1532de5-ead4-4a0f-a168-689e893aaaa5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tailor shop and xerox and card duplicate
</t>
      </text>
    </comment>
    <comment authorId="3" xr:uid="{e952dc23-d1e6-498c-8a6f-8722bef879a5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family and team outing only. salem engagement time 364
</t>
      </text>
    </comment>
    <comment authorId="4" xr:uid="{eaf3cdd2-975a-4ced-9d61-131d7db0dc3b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puncher and watch repair
</t>
      </text>
    </comment>
    <comment authorId="5" xr:uid="{f4c51557-a431-4e75-9c16-4d4554a3857c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medicine and recharge and dry fruits
</t>
      </text>
    </comment>
    <comment authorId="6" xr:uid="{fd3967a8-9b2a-43a1-ae53-11e8591be00a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 gromming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tc={041d1f0e-57b5-4dd5-9d68-eef052e5ed1f}</author>
    <author>tc={12b5c579-2c69-4f02-98ab-56778da827e9}</author>
    <author>tc={7cb1a9a7-06ad-48b3-a901-e8b291c0be9f}</author>
  </authors>
  <commentList>
    <comment authorId="0" xr:uid="{041d1f0e-57b5-4dd5-9d68-eef052e5ed1f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NAVI - 9986.66, KOSAMTTAM - 6916.69(7), 10000(iifl)
</t>
      </text>
    </comment>
    <comment authorId="1" xr:uid="{12b5c579-2c69-4f02-98ab-56778da827e9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redeem 2 gram gold from digi gold on akshya thiriti and additional gold amount
</t>
      </text>
    </comment>
    <comment authorId="2" xr:uid="{7cb1a9a7-06ad-48b3-a901-e8b291c0be9f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muthooth mcred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tc={2d60ad2a-52e6-464e-a5e7-6397fe192248}</author>
    <author>tc={44eaab96-16ad-4bcf-8461-b41a78d596b0}</author>
    <author>tc={5735c71d-c453-4a3e-b476-fe26ca814118}</author>
    <author>tc={58861493-8300-4258-9509-97320d6fb5db}</author>
    <author>tc={659fcec9-a666-433d-b46e-4399ece13779}</author>
    <author>tc={83daf0e2-c8f8-4cc6-bd76-fac01925b71e}</author>
    <author>tc={97b2c22a-3ffe-40a9-b2ae-8c6b625187c3}</author>
    <author>tc={aebfb407-5e64-4e79-9e80-c464a9b7ec24}</author>
    <author>tc={c37be30a-5b6a-44cc-870c-069944178454}</author>
    <author>tc={e821a412-6674-4f43-9143-beac346f7e64}</author>
    <author>tc={fe391ae1-7827-4858-b4a2-cb3766af9cd3}</author>
  </authors>
  <commentList>
    <comment authorId="0" xr:uid="{2d60ad2a-52e6-464e-a5e7-6397fe192248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ONGC- 6.25, IRCTC - 3.5, Coal 6, PFC 6.5, REC- 12.8
</t>
      </text>
    </comment>
    <comment authorId="1" xr:uid="{44eaab96-16ad-4bcf-8461-b41a78d596b0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15144 - online and 544 - offline
</t>
      </text>
    </comment>
    <comment authorId="2" xr:uid="{5735c71d-c453-4a3e-b476-fe26ca814118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 mom - 1000, Praveen - 15000,
</t>
      </text>
    </comment>
    <comment authorId="3" xr:uid="{58861493-8300-4258-9509-97320d6fb5db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2002 new year , 3000 pongal vel uncle , 2000 - appa
</t>
      </text>
    </comment>
    <comment authorId="4" xr:uid="{659fcec9-a666-433d-b46e-4399ece13779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308 - interest , 15000 principle
</t>
      </text>
    </comment>
    <comment authorId="5" xr:uid="{83daf0e2-c8f8-4cc6-bd76-fac01925b71e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Gpay 32 super money 24 dream11 old
</t>
      </text>
    </comment>
    <comment authorId="6" xr:uid="{97b2c22a-3ffe-40a9-b2ae-8c6b625187c3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RBI 492.84 and muthooth 79
</t>
      </text>
    </comment>
    <comment authorId="7" xr:uid="{aebfb407-5e64-4e79-9e80-c464a9b7ec24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2002 - vel uncle , 3000 - vel pongal , 2000 -appa
</t>
      </text>
    </comment>
    <comment authorId="8" xr:uid="{c37be30a-5b6a-44cc-870c-069944178454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 watch, 200 gloves 90 stone 309 band
Reply:
	300 weight machine tvm
</t>
      </text>
    </comment>
    <comment authorId="9" xr:uid="{e821a412-6674-4f43-9143-beac346f7e64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492.84 gpay 79 indiabonds
</t>
      </text>
    </comment>
    <comment authorId="10" xr:uid="{fe391ae1-7827-4858-b4a2-cb3766af9cd3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2002 vel new year, 3000 vel pongal , 2000 appa
</t>
      </text>
    </comment>
  </commentList>
</comments>
</file>

<file path=xl/sharedStrings.xml><?xml version="1.0" encoding="utf-8"?>
<sst xmlns="http://schemas.openxmlformats.org/spreadsheetml/2006/main" count="105" uniqueCount="78">
  <si>
    <t>Details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</si>
  <si>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</si>
  <si>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</si>
  <si>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</si>
  <si>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</si>
  <si>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</si>
  <si>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</si>
  <si>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</si>
  <si>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</si>
  <si>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</si>
  <si>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</si>
  <si>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</si>
  <si>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</si>
  <si>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overall total</t>
  </si>
  <si>
    <t>avg</t>
  </si>
  <si>
    <t>Rent</t>
  </si>
  <si>
    <t>Milk</t>
  </si>
  <si>
    <t>Electricity Bill</t>
  </si>
  <si>
    <t>Gas</t>
  </si>
  <si>
    <t>Maid</t>
  </si>
  <si>
    <t>Recharge (Phone and wifi)</t>
  </si>
  <si>
    <t>Other Bills (Insurance/DTH)</t>
  </si>
  <si>
    <t xml:space="preserve">Water can </t>
  </si>
  <si>
    <t>Grocery</t>
  </si>
  <si>
    <t>Grocery (Detergents /Hair products)</t>
  </si>
  <si>
    <t>Vegetables</t>
  </si>
  <si>
    <t>Flowers</t>
  </si>
  <si>
    <t>Healthy snacks</t>
  </si>
  <si>
    <t>Hotel</t>
  </si>
  <si>
    <t>Snacks</t>
  </si>
  <si>
    <t>Petrol</t>
  </si>
  <si>
    <t>Medical</t>
  </si>
  <si>
    <t>Travel</t>
  </si>
  <si>
    <t>Gromming</t>
  </si>
  <si>
    <t>Movie/Entertainment/tickets/outing</t>
  </si>
  <si>
    <t>Repair works/Installation</t>
  </si>
  <si>
    <t>Outing/Travel for experience</t>
  </si>
  <si>
    <t>extras</t>
  </si>
  <si>
    <t>Shopping (dress/gifts)</t>
  </si>
  <si>
    <t>Shopping for home(products)</t>
  </si>
  <si>
    <t>Shopping for family</t>
  </si>
  <si>
    <t>Spend in Tiruvannamalai</t>
  </si>
  <si>
    <t>Spend in Vellore</t>
  </si>
  <si>
    <t>sub-total</t>
  </si>
  <si>
    <t>overall Total</t>
  </si>
  <si>
    <t>\</t>
  </si>
  <si>
    <t>Investments</t>
  </si>
  <si>
    <t>Gold And silver</t>
  </si>
  <si>
    <t>SBI life insurance (20th Date SBI)</t>
  </si>
  <si>
    <t>Recurring Deposit (5th date Imobile)</t>
  </si>
  <si>
    <t>PPF(5th Date Imobile)</t>
  </si>
  <si>
    <t>Stocks</t>
  </si>
  <si>
    <t>SBI  jai nivesh   (SIP)</t>
  </si>
  <si>
    <t>Parg flexi cap parag SIP</t>
  </si>
  <si>
    <t>Large cap fund SIp</t>
  </si>
  <si>
    <t>Bond investment (RBI +Coporate)</t>
  </si>
  <si>
    <t>NPS</t>
  </si>
  <si>
    <t>Total</t>
  </si>
  <si>
    <t>Spending</t>
  </si>
  <si>
    <t>To Madhu</t>
  </si>
  <si>
    <t>To Family</t>
  </si>
  <si>
    <t>To relatives</t>
  </si>
  <si>
    <t>Interest Details</t>
  </si>
  <si>
    <t>from parents/realtives</t>
  </si>
  <si>
    <t xml:space="preserve">waste plastic </t>
  </si>
  <si>
    <t>sell product/coupons</t>
  </si>
  <si>
    <t>gas Subidariry</t>
  </si>
  <si>
    <t>Indian bank interest</t>
  </si>
  <si>
    <t>SBI interest</t>
  </si>
  <si>
    <t xml:space="preserve">icici interest </t>
  </si>
  <si>
    <t>post office interset</t>
  </si>
  <si>
    <t xml:space="preserve">dividend </t>
  </si>
  <si>
    <t>bond interest</t>
  </si>
  <si>
    <t>FD/RD interest</t>
  </si>
  <si>
    <t>Cashback</t>
  </si>
  <si>
    <t>total</t>
  </si>
  <si>
    <t xml:space="preserve">Loan </t>
  </si>
  <si>
    <t xml:space="preserve">Gold Loan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</si>
</sst>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askar R" id="{90afcf5d-dcc3-41c9-807d-5f5ce408e03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5" dT="2026-05-01T07:14:27.00" personId="{90afcf5d-dcc3-41c9-807d-5f5ce408e035}" id="{362a3353-2d39-44d9-9b0d-0e5ae4329f03}" done="0">
    <x18tc:text xml:space="preserve">marriage shopping, exhibition shopping , dress and inners and steel drum and jewelery set for marriage and kolusu</x18tc:text>
  </x18tc:threadedComment>
  <x18tc:threadedComment ref="E27" dT="2026-05-01T07:13:39.00" personId="{90afcf5d-dcc3-41c9-807d-5f5ce408e035}" id="{757380b4-c757-419a-9417-0714f90d643e}" done="0">
    <x18tc:text xml:space="preserve">marriage gift for praveen</x18tc:text>
  </x18tc:threadedComment>
  <x18tc:threadedComment ref="E28" dT="2026-05-01T07:05:18.00" personId="{90afcf5d-dcc3-41c9-807d-5f5ce408e035}" id="{f4c51557-a431-4e75-9c16-4d4554a3857c}" done="0">
    <x18tc:text xml:space="preserve">medicine and recharge and dry fruits</x18tc:text>
  </x18tc:threadedComment>
  <x18tc:threadedComment ref="E24" dT="2026-05-01T07:05:56.00" personId="{90afcf5d-dcc3-41c9-807d-5f5ce408e035}" id="{e1532de5-ead4-4a0f-a168-689e893aaaa5}" done="0">
    <x18tc:text xml:space="preserve">tailor shop and xerox and card duplicate</x18tc:text>
  </x18tc:threadedComment>
  <x18tc:threadedComment ref="C15" dT="2026-02-28T13:43:09.00" personId="{90afcf5d-dcc3-41c9-807d-5f5ce408e035}" id="{e952dc23-d1e6-498c-8a6f-8722bef879a5}" done="0">
    <x18tc:text xml:space="preserve">family and team outing only. salem engagement time 364</x18tc:text>
  </x18tc:threadedComment>
  <x18tc:threadedComment ref="E20" dT="2026-05-01T07:12:40.00" personId="{90afcf5d-dcc3-41c9-807d-5f5ce408e035}" id="{fd3967a8-9b2a-43a1-ae53-11e8591be00a}" done="0">
    <x18tc:text xml:space="preserve">M gromming</x18tc:text>
  </x18tc:threadedComment>
  <x18tc:threadedComment ref="E22" dT="2026-05-01T07:08:14.00" personId="{90afcf5d-dcc3-41c9-807d-5f5ce408e035}" id="{eaf3cdd2-975a-4ced-9d61-131d7db0dc3b}" done="0">
    <x18tc:text xml:space="preserve">puncher and watch repair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0" dT="2026-04-04T08:54:09.00" personId="{90afcf5d-dcc3-41c9-807d-5f5ce408e035}" id="{041d1f0e-57b5-4dd5-9d68-eef052e5ed1f}" done="0">
    <x18tc:text xml:space="preserve">NAVI - 9986.66, KOSAMTTAM - 6916.69(7), 10000(iifl)</x18tc:text>
  </x18tc:threadedComment>
  <x18tc:threadedComment ref="E10" dT="2026-05-01T07:17:16.00" personId="{90afcf5d-dcc3-41c9-807d-5f5ce408e035}" id="{7cb1a9a7-06ad-48b3-a901-e8b291c0be9f}" done="0">
    <x18tc:text xml:space="preserve">muthooth mcred</x18tc:text>
  </x18tc:threadedComment>
  <x18tc:threadedComment ref="E2" dT="2026-05-01T07:15:24.00" personId="{90afcf5d-dcc3-41c9-807d-5f5ce408e035}" id="{12b5c579-2c69-4f02-98ab-56778da827e9}" done="0">
    <x18tc:text xml:space="preserve">redeem 2 gram gold from digi gold on akshya thiriti and additional gold amount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1-31T14:23:16.00" personId="{90afcf5d-dcc3-41c9-807d-5f5ce408e035}" id="{aebfb407-5e64-4e79-9e80-c464a9b7ec24}" done="0">
    <x18tc:text xml:space="preserve">2002 - vel uncle , 3000 - vel pongal , 2000 -appa</x18tc:text>
  </x18tc:threadedComment>
  <x18tc:threadedComment ref="B13" dT="2026-01-31T13:58:06.00" personId="{90afcf5d-dcc3-41c9-807d-5f5ce408e035}" id="{83daf0e2-c8f8-4cc6-bd76-fac01925b71e}" done="0">
    <x18tc:text xml:space="preserve">30 Gpay 32 super money 24 dream11 old</x18tc:text>
  </x18tc:threadedComment>
  <x18tc:threadedComment ref="B11" dT="2026-01-31T13:59:05.00" personId="{90afcf5d-dcc3-41c9-807d-5f5ce408e035}" id="{e821a412-6674-4f43-9143-beac346f7e64}" done="0">
    <x18tc:text xml:space="preserve">492.84 gpay 79 indiabonds</x18tc:text>
  </x18tc:threadedComment>
  <x18tc:threadedComment ref="B4" dT="2026-01-31T14:01:06.00" personId="{90afcf5d-dcc3-41c9-807d-5f5ce408e035}" id="{c37be30a-5b6a-44cc-870c-069944178454}" done="0">
    <x18tc:text xml:space="preserve">400 watch, 200 gloves 90 stone 309 band</x18tc:text>
  </x18tc:threadedComment>
  <x18tc:threadedComment ref="B4" dT="2026-01-31T14:20:04.00" personId="{90afcf5d-dcc3-41c9-807d-5f5ce408e035}" id="{6179c7ce-a956-4051-bafc-1a73b3480668}" parentId="{c37be30a-5b6a-44cc-870c-069944178454}">
    <x18tc:text xml:space="preserve">300 weight machine tvm</x18tc:text>
  </x18tc:threadedComment>
  <x18tc:threadedComment ref="B2" dT="2026-01-31T14:02:39.00" personId="{90afcf5d-dcc3-41c9-807d-5f5ce408e035}" id="{58861493-8300-4258-9509-97320d6fb5db}" done="1">
    <x18tc:text xml:space="preserve">2002 new year , 3000 pongal vel uncle , 2000 - appa</x18tc:text>
  </x18tc:threadedComment>
  <x18tc:threadedComment ref="B2" dT="2026-01-31T14:02:10.00" personId="{90afcf5d-dcc3-41c9-807d-5f5ce408e035}" id="{fe391ae1-7827-4858-b4a2-cb3766af9cd3}" done="1">
    <x18tc:text xml:space="preserve">2002 vel new year, 3000 vel pongal , 2000 appa</x18tc:text>
  </x18tc:threadedComment>
  <x18tc:threadedComment ref="B18" dT="2026-01-31T14:03:06.00" personId="{90afcf5d-dcc3-41c9-807d-5f5ce408e035}" id="{659fcec9-a666-433d-b46e-4399ece13779}" done="0">
    <x18tc:text xml:space="preserve">308 - interest , 15000 principle</x18tc:text>
  </x18tc:threadedComment>
  <x18tc:threadedComment ref="D10" dT="2026-04-04T09:00:39.00" personId="{90afcf5d-dcc3-41c9-807d-5f5ce408e035}" id="{2d60ad2a-52e6-464e-a5e7-6397fe192248}" done="0">
    <x18tc:text xml:space="preserve">ONGC- 6.25, IRCTC - 3.5, Coal 6, PFC 6.5, REC- 12.8</x18tc:text>
  </x18tc:threadedComment>
  <x18tc:threadedComment ref="D2" dT="2026-04-04T08:55:42.00" personId="{90afcf5d-dcc3-41c9-807d-5f5ce408e035}" id="{5735c71d-c453-4a3e-b476-fe26ca814118}" done="0">
    <x18tc:text xml:space="preserve">M mom - 1000, Praveen - 15000,</x18tc:text>
  </x18tc:threadedComment>
  <x18tc:threadedComment ref="B11" dT="2026-01-31T13:45:02.00" personId="{90afcf5d-dcc3-41c9-807d-5f5ce408e035}" id="{97b2c22a-3ffe-40a9-b2ae-8c6b625187c3}" done="1">
    <x18tc:text xml:space="preserve">RBI 492.84 and muthooth 79</x18tc:text>
  </x18tc:threadedComment>
  <x18tc:threadedComment ref="D18" dT="2026-04-04T08:59:41.00" personId="{90afcf5d-dcc3-41c9-807d-5f5ce408e035}" id="{44eaab96-16ad-4bcf-8461-b41a78d596b0}" done="0">
    <x18tc:text xml:space="preserve">15144 - online and 544 - offline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</row>
    <row r="2">
      <c r="A2" s="1" t="s">
        <v>15</v>
      </c>
      <c r="B2" s="2">
        <v>20240.0</v>
      </c>
      <c r="C2" s="2">
        <v>20000.0</v>
      </c>
      <c r="D2" s="2">
        <v>20200.0</v>
      </c>
      <c r="E2" s="2">
        <v>20000.0</v>
      </c>
      <c r="N2" s="4">
        <f t="shared" ref="N2:N10" si="1">sum(B2:M2)</f>
        <v>80440</v>
      </c>
      <c r="O2" s="4">
        <f t="shared" ref="O2:O10" si="2">N2/12</f>
        <v>6703.333333</v>
      </c>
    </row>
    <row r="3">
      <c r="A3" s="1" t="s">
        <v>16</v>
      </c>
      <c r="B3" s="2">
        <v>582.0</v>
      </c>
      <c r="C3" s="2">
        <v>802.0</v>
      </c>
      <c r="D3" s="2">
        <v>1145.0</v>
      </c>
      <c r="E3" s="2">
        <v>474.0</v>
      </c>
      <c r="N3" s="4">
        <f t="shared" si="1"/>
        <v>3003</v>
      </c>
      <c r="O3" s="4">
        <f t="shared" si="2"/>
        <v>250.25</v>
      </c>
    </row>
    <row r="4">
      <c r="A4" s="1" t="s">
        <v>17</v>
      </c>
      <c r="B4" s="2">
        <v>0.0</v>
      </c>
      <c r="C4" s="2">
        <v>663.0</v>
      </c>
      <c r="D4" s="2">
        <v>0.0</v>
      </c>
      <c r="E4" s="2">
        <v>1244.0</v>
      </c>
      <c r="N4" s="4">
        <f t="shared" si="1"/>
        <v>1907</v>
      </c>
      <c r="O4" s="4">
        <f t="shared" si="2"/>
        <v>158.9166667</v>
      </c>
    </row>
    <row r="5">
      <c r="A5" s="1" t="s">
        <v>18</v>
      </c>
      <c r="B5" s="2">
        <v>0.0</v>
      </c>
      <c r="C5" s="2">
        <v>868.5</v>
      </c>
      <c r="D5" s="2">
        <v>0.0</v>
      </c>
      <c r="E5" s="2">
        <v>0.0</v>
      </c>
      <c r="N5" s="4">
        <f t="shared" si="1"/>
        <v>868.5</v>
      </c>
      <c r="O5" s="4">
        <f t="shared" si="2"/>
        <v>72.375</v>
      </c>
    </row>
    <row r="6">
      <c r="A6" s="1" t="s">
        <v>19</v>
      </c>
      <c r="B6" s="2">
        <v>50.0</v>
      </c>
      <c r="C6" s="2">
        <v>240.0</v>
      </c>
      <c r="D6" s="2">
        <v>50.0</v>
      </c>
      <c r="E6" s="2">
        <v>50.0</v>
      </c>
      <c r="N6" s="4">
        <f t="shared" si="1"/>
        <v>390</v>
      </c>
      <c r="O6" s="4">
        <f t="shared" si="2"/>
        <v>32.5</v>
      </c>
    </row>
    <row r="7">
      <c r="A7" s="3" t="s">
        <v>20</v>
      </c>
      <c r="B7" s="2">
        <v>1843.64</v>
      </c>
      <c r="C7" s="2">
        <v>1652.64</v>
      </c>
      <c r="D7" s="2">
        <v>1976.64</v>
      </c>
      <c r="E7" s="2">
        <v>2077.0</v>
      </c>
      <c r="N7" s="4">
        <f t="shared" si="1"/>
        <v>7549.92</v>
      </c>
      <c r="O7" s="4">
        <f t="shared" si="2"/>
        <v>629.16</v>
      </c>
    </row>
    <row r="8">
      <c r="A8" s="3" t="s">
        <v>21</v>
      </c>
      <c r="B8" s="2">
        <v>0.0</v>
      </c>
      <c r="C8" s="2">
        <v>0.0</v>
      </c>
      <c r="D8" s="2">
        <v>1668.0</v>
      </c>
      <c r="E8" s="2">
        <v>0.0</v>
      </c>
      <c r="N8" s="4">
        <f t="shared" si="1"/>
        <v>1668</v>
      </c>
      <c r="O8" s="4">
        <f t="shared" si="2"/>
        <v>139</v>
      </c>
    </row>
    <row r="9">
      <c r="A9" s="1" t="s">
        <v>22</v>
      </c>
      <c r="B9" s="2">
        <v>245.0</v>
      </c>
      <c r="C9" s="2">
        <v>280.0</v>
      </c>
      <c r="D9" s="2">
        <v>455.0</v>
      </c>
      <c r="E9" s="2">
        <v>245.0</v>
      </c>
      <c r="N9" s="4">
        <f t="shared" si="1"/>
        <v>1225</v>
      </c>
      <c r="O9" s="4">
        <f t="shared" si="2"/>
        <v>102.0833333</v>
      </c>
    </row>
    <row r="10">
      <c r="A10" s="1" t="s">
        <v>23</v>
      </c>
      <c r="B10" s="2">
        <v>3207.38</v>
      </c>
      <c r="C10" s="2">
        <v>3472.27</v>
      </c>
      <c r="D10" s="2">
        <v>4069.86</v>
      </c>
      <c r="E10" s="2">
        <v>4132.0</v>
      </c>
      <c r="N10" s="4">
        <f t="shared" si="1"/>
        <v>14881.51</v>
      </c>
      <c r="O10" s="4">
        <f t="shared" si="2"/>
        <v>1240.125833</v>
      </c>
    </row>
    <row r="11">
      <c r="A11" s="3" t="s">
        <v>24</v>
      </c>
      <c r="B11" s="2">
        <v>1420.0</v>
      </c>
      <c r="C11" s="2">
        <v>2143.0</v>
      </c>
      <c r="D11" s="2">
        <v>408.0</v>
      </c>
      <c r="E11" s="2">
        <v>2494.0</v>
      </c>
    </row>
    <row r="12">
      <c r="A12" s="1" t="s">
        <v>25</v>
      </c>
      <c r="B12" s="2">
        <v>1046.2</v>
      </c>
      <c r="C12" s="2">
        <v>1481.8</v>
      </c>
      <c r="D12" s="2">
        <v>1287.75</v>
      </c>
      <c r="E12" s="2">
        <v>784.8</v>
      </c>
      <c r="N12" s="4">
        <f t="shared" ref="N12:N29" si="3">sum(B12:M12)</f>
        <v>4600.55</v>
      </c>
      <c r="O12" s="4">
        <f t="shared" ref="O12:O31" si="4">N12/12</f>
        <v>383.3791667</v>
      </c>
    </row>
    <row r="13">
      <c r="A13" s="1" t="s">
        <v>26</v>
      </c>
      <c r="B13" s="2">
        <v>560.0</v>
      </c>
      <c r="C13" s="2">
        <v>760.0</v>
      </c>
      <c r="D13" s="2">
        <v>810.0</v>
      </c>
      <c r="E13" s="2">
        <v>835.0</v>
      </c>
      <c r="N13" s="4">
        <f t="shared" si="3"/>
        <v>2965</v>
      </c>
      <c r="O13" s="4">
        <f t="shared" si="4"/>
        <v>247.0833333</v>
      </c>
    </row>
    <row r="14">
      <c r="A14" s="3" t="s">
        <v>27</v>
      </c>
      <c r="B14" s="2">
        <v>2666.8</v>
      </c>
      <c r="C14" s="2">
        <v>2058.76</v>
      </c>
      <c r="D14" s="2">
        <v>2641.44</v>
      </c>
      <c r="E14" s="2">
        <v>950.2</v>
      </c>
      <c r="N14" s="4">
        <f t="shared" si="3"/>
        <v>8317.2</v>
      </c>
      <c r="O14" s="4">
        <f t="shared" si="4"/>
        <v>693.1</v>
      </c>
    </row>
    <row r="15">
      <c r="A15" s="1" t="s">
        <v>28</v>
      </c>
      <c r="B15" s="2">
        <v>2066.0</v>
      </c>
      <c r="C15" s="2">
        <v>1369.0</v>
      </c>
      <c r="D15" s="2">
        <v>1081.0</v>
      </c>
      <c r="E15" s="2">
        <v>2899.0</v>
      </c>
      <c r="N15" s="4">
        <f t="shared" si="3"/>
        <v>7415</v>
      </c>
      <c r="O15" s="4">
        <f t="shared" si="4"/>
        <v>617.9166667</v>
      </c>
    </row>
    <row r="16">
      <c r="A16" s="1" t="s">
        <v>29</v>
      </c>
      <c r="B16" s="2">
        <v>742.0</v>
      </c>
      <c r="C16" s="2">
        <v>637.0</v>
      </c>
      <c r="D16" s="2">
        <v>370.0</v>
      </c>
      <c r="E16" s="2">
        <v>584.0</v>
      </c>
      <c r="N16" s="4">
        <f t="shared" si="3"/>
        <v>2333</v>
      </c>
      <c r="O16" s="4">
        <f t="shared" si="4"/>
        <v>194.4166667</v>
      </c>
    </row>
    <row r="17">
      <c r="A17" s="1" t="s">
        <v>30</v>
      </c>
      <c r="B17" s="2">
        <v>1100.0</v>
      </c>
      <c r="C17" s="2">
        <v>600.0</v>
      </c>
      <c r="D17" s="2">
        <v>1347.0</v>
      </c>
      <c r="E17" s="2">
        <v>700.0</v>
      </c>
      <c r="N17" s="4">
        <f t="shared" si="3"/>
        <v>3747</v>
      </c>
      <c r="O17" s="4">
        <f t="shared" si="4"/>
        <v>312.25</v>
      </c>
    </row>
    <row r="18">
      <c r="A18" s="1" t="s">
        <v>31</v>
      </c>
      <c r="B18" s="2">
        <v>2972.0</v>
      </c>
      <c r="C18" s="2">
        <v>12732.0</v>
      </c>
      <c r="D18" s="2">
        <v>15499.0</v>
      </c>
      <c r="E18" s="2">
        <v>3831.0</v>
      </c>
      <c r="N18" s="4">
        <f t="shared" si="3"/>
        <v>35034</v>
      </c>
      <c r="O18" s="4">
        <f t="shared" si="4"/>
        <v>2919.5</v>
      </c>
    </row>
    <row r="19">
      <c r="A19" s="1" t="s">
        <v>32</v>
      </c>
      <c r="B19" s="2">
        <v>3146.0</v>
      </c>
      <c r="C19" s="2">
        <v>2052.0</v>
      </c>
      <c r="D19" s="2">
        <v>1115.0</v>
      </c>
      <c r="E19" s="2">
        <v>1027.0</v>
      </c>
      <c r="N19" s="4">
        <f t="shared" si="3"/>
        <v>7340</v>
      </c>
      <c r="O19" s="4">
        <f t="shared" si="4"/>
        <v>611.6666667</v>
      </c>
    </row>
    <row r="20">
      <c r="A20" s="1" t="s">
        <v>33</v>
      </c>
      <c r="B20" s="2">
        <v>160.0</v>
      </c>
      <c r="C20" s="2">
        <v>0.0</v>
      </c>
      <c r="D20" s="2">
        <v>160.0</v>
      </c>
      <c r="E20" s="2">
        <v>1476.0</v>
      </c>
      <c r="N20" s="4">
        <f t="shared" si="3"/>
        <v>1796</v>
      </c>
      <c r="O20" s="4">
        <f t="shared" si="4"/>
        <v>149.6666667</v>
      </c>
    </row>
    <row r="21">
      <c r="A21" s="3" t="s">
        <v>34</v>
      </c>
      <c r="B21" s="2">
        <v>898.0</v>
      </c>
      <c r="C21" s="2">
        <v>0.0</v>
      </c>
      <c r="D21" s="2">
        <v>0.0</v>
      </c>
      <c r="E21" s="2">
        <v>0.0</v>
      </c>
      <c r="N21" s="4">
        <f t="shared" si="3"/>
        <v>898</v>
      </c>
      <c r="O21" s="4">
        <f t="shared" si="4"/>
        <v>74.83333333</v>
      </c>
    </row>
    <row r="22">
      <c r="A22" s="3" t="s">
        <v>35</v>
      </c>
      <c r="B22" s="2">
        <v>2200.0</v>
      </c>
      <c r="C22" s="2">
        <v>0.0</v>
      </c>
      <c r="D22" s="2">
        <v>160.0</v>
      </c>
      <c r="E22" s="2">
        <v>1210.0</v>
      </c>
      <c r="N22" s="4">
        <f t="shared" si="3"/>
        <v>3570</v>
      </c>
      <c r="O22" s="4">
        <f t="shared" si="4"/>
        <v>297.5</v>
      </c>
    </row>
    <row r="23">
      <c r="A23" s="1" t="s">
        <v>36</v>
      </c>
      <c r="B23" s="2">
        <v>0.0</v>
      </c>
      <c r="C23" s="2">
        <v>0.0</v>
      </c>
      <c r="D23" s="2">
        <v>0.0</v>
      </c>
      <c r="E23" s="2">
        <v>0.0</v>
      </c>
      <c r="N23" s="4">
        <f t="shared" si="3"/>
        <v>0</v>
      </c>
      <c r="O23" s="4">
        <f t="shared" si="4"/>
        <v>0</v>
      </c>
    </row>
    <row r="24">
      <c r="A24" s="1" t="s">
        <v>37</v>
      </c>
      <c r="B24" s="2">
        <v>0.0</v>
      </c>
      <c r="C24" s="2">
        <v>0.0</v>
      </c>
      <c r="D24" s="2">
        <v>0.0</v>
      </c>
      <c r="E24" s="2">
        <v>2679.0</v>
      </c>
      <c r="N24" s="4">
        <f t="shared" si="3"/>
        <v>2679</v>
      </c>
      <c r="O24" s="4">
        <f t="shared" si="4"/>
        <v>223.25</v>
      </c>
    </row>
    <row r="25">
      <c r="A25" s="2" t="s">
        <v>38</v>
      </c>
      <c r="B25" s="2">
        <v>535.0</v>
      </c>
      <c r="C25" s="2">
        <v>1740.92</v>
      </c>
      <c r="D25" s="2">
        <v>2699.0</v>
      </c>
      <c r="E25" s="2">
        <v>21977.0</v>
      </c>
      <c r="N25" s="4">
        <f t="shared" si="3"/>
        <v>26951.92</v>
      </c>
      <c r="O25" s="4">
        <f t="shared" si="4"/>
        <v>2245.993333</v>
      </c>
    </row>
    <row r="26">
      <c r="A26" s="2" t="s">
        <v>39</v>
      </c>
      <c r="B26" s="2">
        <v>365.0</v>
      </c>
      <c r="C26" s="2">
        <v>1209.25</v>
      </c>
      <c r="D26" s="2">
        <v>3.0</v>
      </c>
      <c r="E26" s="2">
        <v>0.0</v>
      </c>
      <c r="N26" s="4">
        <f t="shared" si="3"/>
        <v>1577.25</v>
      </c>
      <c r="O26" s="4">
        <f t="shared" si="4"/>
        <v>131.4375</v>
      </c>
    </row>
    <row r="27">
      <c r="A27" s="2" t="s">
        <v>40</v>
      </c>
      <c r="B27" s="2">
        <v>740.0</v>
      </c>
      <c r="C27" s="2">
        <v>350.0</v>
      </c>
      <c r="D27" s="2">
        <v>703.0</v>
      </c>
      <c r="E27" s="2">
        <v>14693.0</v>
      </c>
      <c r="N27" s="4">
        <f t="shared" si="3"/>
        <v>16486</v>
      </c>
      <c r="O27" s="4">
        <f t="shared" si="4"/>
        <v>1373.833333</v>
      </c>
    </row>
    <row r="28">
      <c r="A28" s="1" t="s">
        <v>41</v>
      </c>
      <c r="B28" s="2">
        <v>0.0</v>
      </c>
      <c r="C28" s="2">
        <v>0.0</v>
      </c>
      <c r="D28" s="2">
        <v>0.0</v>
      </c>
      <c r="E28" s="2">
        <f>4613.88+309</f>
        <v>4922.88</v>
      </c>
      <c r="N28" s="4">
        <f t="shared" si="3"/>
        <v>4922.88</v>
      </c>
      <c r="O28" s="4">
        <f t="shared" si="4"/>
        <v>410.24</v>
      </c>
    </row>
    <row r="29">
      <c r="A29" s="1" t="s">
        <v>42</v>
      </c>
      <c r="B29" s="2">
        <v>0.0</v>
      </c>
      <c r="C29" s="2">
        <v>0.0</v>
      </c>
      <c r="D29" s="2">
        <v>0.0</v>
      </c>
      <c r="E29" s="2">
        <v>1013.0</v>
      </c>
      <c r="N29" s="4">
        <f t="shared" si="3"/>
        <v>1013</v>
      </c>
      <c r="O29" s="4">
        <f t="shared" si="4"/>
        <v>84.41666667</v>
      </c>
    </row>
    <row r="30">
      <c r="A30" s="1" t="s">
        <v>43</v>
      </c>
      <c r="B30" s="4">
        <f t="shared" ref="B30:N30" si="5">SUM(B2:B26)</f>
        <v>46045.02</v>
      </c>
      <c r="C30" s="4">
        <f t="shared" si="5"/>
        <v>54762.14</v>
      </c>
      <c r="D30" s="4">
        <f t="shared" si="5"/>
        <v>57145.69</v>
      </c>
      <c r="E30" s="4">
        <f t="shared" si="5"/>
        <v>69669</v>
      </c>
      <c r="F30" s="4">
        <f t="shared" si="5"/>
        <v>0</v>
      </c>
      <c r="G30" s="4">
        <f t="shared" si="5"/>
        <v>0</v>
      </c>
      <c r="H30" s="4">
        <f t="shared" si="5"/>
        <v>0</v>
      </c>
      <c r="I30" s="4">
        <f t="shared" si="5"/>
        <v>0</v>
      </c>
      <c r="J30" s="4">
        <f t="shared" si="5"/>
        <v>0</v>
      </c>
      <c r="K30" s="4">
        <f t="shared" si="5"/>
        <v>0</v>
      </c>
      <c r="L30" s="4">
        <f t="shared" si="5"/>
        <v>0</v>
      </c>
      <c r="M30" s="4">
        <f t="shared" si="5"/>
        <v>0</v>
      </c>
      <c r="N30" s="4">
        <f t="shared" si="5"/>
        <v>221156.85</v>
      </c>
      <c r="O30" s="4">
        <f t="shared" si="4"/>
        <v>18429.7375</v>
      </c>
    </row>
    <row r="31">
      <c r="A31" s="1" t="s">
        <v>44</v>
      </c>
      <c r="B31" s="4">
        <f t="shared" ref="B31:N31" si="6">sum(B27:B30)</f>
        <v>46785.02</v>
      </c>
      <c r="C31" s="4">
        <f t="shared" si="6"/>
        <v>55112.14</v>
      </c>
      <c r="D31" s="4">
        <f t="shared" si="6"/>
        <v>57848.69</v>
      </c>
      <c r="E31" s="4">
        <f t="shared" si="6"/>
        <v>90297.88</v>
      </c>
      <c r="F31" s="4">
        <f t="shared" si="6"/>
        <v>0</v>
      </c>
      <c r="G31" s="4">
        <f t="shared" si="6"/>
        <v>0</v>
      </c>
      <c r="H31" s="4">
        <f t="shared" si="6"/>
        <v>0</v>
      </c>
      <c r="I31" s="4">
        <f t="shared" si="6"/>
        <v>0</v>
      </c>
      <c r="J31" s="4">
        <f t="shared" si="6"/>
        <v>0</v>
      </c>
      <c r="K31" s="4">
        <f t="shared" si="6"/>
        <v>0</v>
      </c>
      <c r="L31" s="4">
        <f t="shared" si="6"/>
        <v>0</v>
      </c>
      <c r="M31" s="4">
        <f t="shared" si="6"/>
        <v>0</v>
      </c>
      <c r="N31" s="4">
        <f t="shared" si="6"/>
        <v>243578.73</v>
      </c>
      <c r="O31" s="4">
        <f t="shared" si="4"/>
        <v>20298.2275</v>
      </c>
    </row>
    <row r="32">
      <c r="A32" s="1"/>
    </row>
    <row r="34">
      <c r="A34" s="3"/>
    </row>
    <row r="35">
      <c r="A35" s="1"/>
    </row>
    <row r="52">
      <c r="A52" s="2" t="s">
        <v>45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</cols>
  <sheetData>
    <row r="1">
      <c r="A1" s="1" t="s">
        <v>46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>
      <c r="A2" s="1" t="s">
        <v>47</v>
      </c>
      <c r="B2" s="2">
        <v>2012.25</v>
      </c>
      <c r="C2" s="2">
        <v>2122.52</v>
      </c>
      <c r="D2" s="2">
        <v>0.0</v>
      </c>
      <c r="E2" s="2">
        <v>4094.0</v>
      </c>
      <c r="N2" s="4">
        <f t="shared" ref="N2:N11" si="1">sum(B2:M2)</f>
        <v>8228.77</v>
      </c>
    </row>
    <row r="3">
      <c r="A3" s="1" t="s">
        <v>48</v>
      </c>
      <c r="B3" s="2">
        <v>4000.0</v>
      </c>
      <c r="C3" s="2">
        <v>4000.0</v>
      </c>
      <c r="D3" s="2">
        <v>4000.0</v>
      </c>
      <c r="E3" s="2">
        <v>4000.0</v>
      </c>
      <c r="N3" s="4">
        <f t="shared" si="1"/>
        <v>16000</v>
      </c>
    </row>
    <row r="4">
      <c r="A4" s="1" t="s">
        <v>49</v>
      </c>
      <c r="B4" s="2">
        <v>15000.0</v>
      </c>
      <c r="C4" s="2">
        <v>15000.0</v>
      </c>
      <c r="D4" s="2">
        <v>15000.0</v>
      </c>
      <c r="E4" s="2">
        <v>15000.0</v>
      </c>
      <c r="N4" s="4">
        <f t="shared" si="1"/>
        <v>60000</v>
      </c>
    </row>
    <row r="5">
      <c r="A5" s="1" t="s">
        <v>50</v>
      </c>
      <c r="B5" s="2">
        <v>5000.0</v>
      </c>
      <c r="C5" s="2">
        <v>5000.0</v>
      </c>
      <c r="D5" s="2">
        <v>5000.0</v>
      </c>
      <c r="E5" s="2">
        <v>5000.0</v>
      </c>
      <c r="N5" s="4">
        <f t="shared" si="1"/>
        <v>20000</v>
      </c>
    </row>
    <row r="6">
      <c r="A6" s="3" t="s">
        <v>51</v>
      </c>
      <c r="B6" s="2">
        <v>4921.63</v>
      </c>
      <c r="C6" s="2">
        <v>8341.39</v>
      </c>
      <c r="D6" s="2">
        <v>20329.7</v>
      </c>
      <c r="E6" s="2">
        <v>7667.231</v>
      </c>
      <c r="N6" s="4">
        <f t="shared" si="1"/>
        <v>41259.951</v>
      </c>
    </row>
    <row r="7">
      <c r="A7" s="1" t="s">
        <v>52</v>
      </c>
      <c r="B7" s="2">
        <v>1250.0</v>
      </c>
      <c r="C7" s="2">
        <v>1000.0</v>
      </c>
      <c r="D7" s="2">
        <v>1000.0</v>
      </c>
      <c r="E7" s="2">
        <v>1250.0</v>
      </c>
      <c r="N7" s="4">
        <f t="shared" si="1"/>
        <v>4500</v>
      </c>
    </row>
    <row r="8">
      <c r="A8" s="3" t="s">
        <v>53</v>
      </c>
      <c r="B8" s="2">
        <v>1000.0</v>
      </c>
      <c r="C8" s="2">
        <v>1000.0</v>
      </c>
      <c r="D8" s="2">
        <v>1000.0</v>
      </c>
      <c r="E8" s="2">
        <v>1000.0</v>
      </c>
      <c r="N8" s="4">
        <f t="shared" si="1"/>
        <v>4000</v>
      </c>
    </row>
    <row r="9">
      <c r="A9" s="1" t="s">
        <v>54</v>
      </c>
      <c r="B9" s="2">
        <v>500.0</v>
      </c>
      <c r="C9" s="2">
        <v>500.0</v>
      </c>
      <c r="D9" s="2">
        <v>500.0</v>
      </c>
      <c r="E9" s="2">
        <v>500.0</v>
      </c>
      <c r="N9" s="4">
        <f t="shared" si="1"/>
        <v>2000</v>
      </c>
    </row>
    <row r="10">
      <c r="A10" s="3" t="s">
        <v>55</v>
      </c>
      <c r="B10" s="2">
        <v>0.0</v>
      </c>
      <c r="C10" s="2">
        <v>0.0</v>
      </c>
      <c r="D10" s="4">
        <f>9986.66+6916.69+10000</f>
        <v>26903.35</v>
      </c>
      <c r="E10" s="2">
        <v>9817.0</v>
      </c>
      <c r="N10" s="4">
        <f t="shared" si="1"/>
        <v>36720.35</v>
      </c>
    </row>
    <row r="11">
      <c r="A11" s="3" t="s">
        <v>56</v>
      </c>
      <c r="B11" s="2">
        <v>0.0</v>
      </c>
      <c r="C11" s="2">
        <v>0.0</v>
      </c>
      <c r="D11" s="2">
        <v>0.0</v>
      </c>
      <c r="E11" s="2">
        <v>0.0</v>
      </c>
      <c r="N11" s="4">
        <f t="shared" si="1"/>
        <v>0</v>
      </c>
    </row>
    <row r="12">
      <c r="A12" s="1" t="s">
        <v>57</v>
      </c>
      <c r="B12" s="4">
        <f t="shared" ref="B12:N12" si="2">sum(B2:B11)</f>
        <v>33683.88</v>
      </c>
      <c r="C12" s="4">
        <f t="shared" si="2"/>
        <v>36963.91</v>
      </c>
      <c r="D12" s="4">
        <f t="shared" si="2"/>
        <v>73733.05</v>
      </c>
      <c r="E12" s="4">
        <f t="shared" si="2"/>
        <v>48328.231</v>
      </c>
      <c r="F12" s="4">
        <f t="shared" si="2"/>
        <v>0</v>
      </c>
      <c r="G12" s="4">
        <f t="shared" si="2"/>
        <v>0</v>
      </c>
      <c r="H12" s="4">
        <f t="shared" si="2"/>
        <v>0</v>
      </c>
      <c r="I12" s="4">
        <f t="shared" si="2"/>
        <v>0</v>
      </c>
      <c r="J12" s="4">
        <f t="shared" si="2"/>
        <v>0</v>
      </c>
      <c r="K12" s="4">
        <f t="shared" si="2"/>
        <v>0</v>
      </c>
      <c r="L12" s="4">
        <f t="shared" si="2"/>
        <v>0</v>
      </c>
      <c r="M12" s="4">
        <f t="shared" si="2"/>
        <v>0</v>
      </c>
      <c r="N12" s="4">
        <f t="shared" si="2"/>
        <v>192709.071</v>
      </c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 t="s">
        <v>58</v>
      </c>
    </row>
    <row r="19">
      <c r="A19" s="1" t="s">
        <v>59</v>
      </c>
      <c r="B19" s="2">
        <v>0.0</v>
      </c>
      <c r="C19" s="2">
        <v>0.0</v>
      </c>
      <c r="D19" s="2">
        <v>1800.0</v>
      </c>
      <c r="E19" s="2">
        <v>0.0</v>
      </c>
    </row>
    <row r="20">
      <c r="A20" s="1" t="s">
        <v>60</v>
      </c>
      <c r="B20" s="2">
        <v>0.0</v>
      </c>
      <c r="C20" s="2">
        <v>0.0</v>
      </c>
      <c r="D20" s="2">
        <v>0.0</v>
      </c>
      <c r="E20" s="2">
        <v>0.0</v>
      </c>
    </row>
    <row r="21">
      <c r="A21" s="1" t="s">
        <v>61</v>
      </c>
      <c r="B21" s="2">
        <v>0.0</v>
      </c>
      <c r="C21" s="2">
        <v>500.0</v>
      </c>
      <c r="D21" s="2">
        <v>0.0</v>
      </c>
      <c r="E21" s="2">
        <v>0.0</v>
      </c>
    </row>
    <row r="22">
      <c r="A22" s="1" t="s">
        <v>57</v>
      </c>
      <c r="B22" s="4">
        <f t="shared" ref="B22:N22" si="3">sum(B19:B21)</f>
        <v>0</v>
      </c>
      <c r="C22" s="4">
        <f t="shared" si="3"/>
        <v>500</v>
      </c>
      <c r="D22" s="4">
        <f t="shared" si="3"/>
        <v>1800</v>
      </c>
      <c r="E22" s="4">
        <f t="shared" si="3"/>
        <v>0</v>
      </c>
      <c r="F22" s="4">
        <f t="shared" si="3"/>
        <v>0</v>
      </c>
      <c r="G22" s="4">
        <f t="shared" si="3"/>
        <v>0</v>
      </c>
      <c r="H22" s="4">
        <f t="shared" si="3"/>
        <v>0</v>
      </c>
      <c r="I22" s="4">
        <f t="shared" si="3"/>
        <v>0</v>
      </c>
      <c r="J22" s="4">
        <f t="shared" si="3"/>
        <v>0</v>
      </c>
      <c r="K22" s="4">
        <f t="shared" si="3"/>
        <v>0</v>
      </c>
      <c r="L22" s="4">
        <f t="shared" si="3"/>
        <v>0</v>
      </c>
      <c r="M22" s="4">
        <f t="shared" si="3"/>
        <v>0</v>
      </c>
      <c r="N22" s="4">
        <f t="shared" si="3"/>
        <v>0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2" t="s">
        <v>62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>
      <c r="A2" s="5" t="s">
        <v>63</v>
      </c>
      <c r="B2" s="2">
        <v>7002.0</v>
      </c>
      <c r="C2" s="2">
        <v>1000.0</v>
      </c>
      <c r="D2" s="2">
        <v>16000.0</v>
      </c>
      <c r="E2" s="2">
        <v>2500.0</v>
      </c>
      <c r="N2" s="4">
        <f t="shared" ref="N2:N13" si="1">sum(B2:M2)</f>
        <v>26502</v>
      </c>
    </row>
    <row r="3">
      <c r="A3" s="3" t="s">
        <v>64</v>
      </c>
      <c r="B3" s="2">
        <v>20.0</v>
      </c>
      <c r="C3" s="2">
        <v>20.0</v>
      </c>
      <c r="D3" s="2">
        <v>15.0</v>
      </c>
      <c r="E3" s="2">
        <v>30.0</v>
      </c>
      <c r="N3" s="4">
        <f t="shared" si="1"/>
        <v>85</v>
      </c>
    </row>
    <row r="4">
      <c r="A4" s="3" t="s">
        <v>65</v>
      </c>
      <c r="B4" s="2">
        <v>1299.0</v>
      </c>
      <c r="C4" s="2">
        <v>1330.0</v>
      </c>
      <c r="D4" s="2">
        <v>280.0</v>
      </c>
      <c r="E4" s="2">
        <v>0.0</v>
      </c>
      <c r="N4" s="4">
        <f t="shared" si="1"/>
        <v>2909</v>
      </c>
    </row>
    <row r="5">
      <c r="A5" s="3" t="s">
        <v>66</v>
      </c>
      <c r="B5" s="2">
        <v>0.0</v>
      </c>
      <c r="C5" s="2">
        <v>0.0</v>
      </c>
      <c r="D5" s="2">
        <v>0.0</v>
      </c>
      <c r="E5" s="2">
        <v>0.0</v>
      </c>
      <c r="N5" s="4">
        <f t="shared" si="1"/>
        <v>0</v>
      </c>
    </row>
    <row r="6">
      <c r="A6" s="1" t="s">
        <v>67</v>
      </c>
      <c r="B6" s="2">
        <v>0.0</v>
      </c>
      <c r="C6" s="2">
        <v>0.0</v>
      </c>
      <c r="D6" s="2">
        <v>44.0</v>
      </c>
      <c r="E6" s="2">
        <v>0.0</v>
      </c>
      <c r="N6" s="4">
        <f t="shared" si="1"/>
        <v>44</v>
      </c>
    </row>
    <row r="7">
      <c r="A7" s="1" t="s">
        <v>68</v>
      </c>
      <c r="B7" s="2">
        <v>0.0</v>
      </c>
      <c r="C7" s="2">
        <v>0.0</v>
      </c>
      <c r="D7" s="2">
        <v>787.0</v>
      </c>
      <c r="E7" s="2">
        <v>0.0</v>
      </c>
      <c r="N7" s="4">
        <f t="shared" si="1"/>
        <v>787</v>
      </c>
    </row>
    <row r="8">
      <c r="A8" s="1" t="s">
        <v>69</v>
      </c>
      <c r="B8" s="2">
        <v>0.0</v>
      </c>
      <c r="C8" s="2">
        <v>0.0</v>
      </c>
      <c r="D8" s="2">
        <v>794.0</v>
      </c>
      <c r="E8" s="2">
        <v>0.0</v>
      </c>
      <c r="N8" s="4">
        <f t="shared" si="1"/>
        <v>794</v>
      </c>
    </row>
    <row r="9">
      <c r="A9" s="1" t="s">
        <v>70</v>
      </c>
      <c r="B9" s="2">
        <v>0.0</v>
      </c>
      <c r="C9" s="2">
        <v>0.0</v>
      </c>
      <c r="D9" s="2">
        <v>541.0</v>
      </c>
      <c r="E9" s="2">
        <v>0.0</v>
      </c>
      <c r="N9" s="4">
        <f t="shared" si="1"/>
        <v>541</v>
      </c>
    </row>
    <row r="10">
      <c r="A10" s="1" t="s">
        <v>71</v>
      </c>
      <c r="B10" s="2">
        <v>0.0</v>
      </c>
      <c r="C10" s="2">
        <v>116.5</v>
      </c>
      <c r="D10" s="2">
        <v>35.05</v>
      </c>
      <c r="E10" s="2">
        <v>0.0</v>
      </c>
      <c r="N10" s="4">
        <f t="shared" si="1"/>
        <v>151.55</v>
      </c>
    </row>
    <row r="11">
      <c r="A11" s="1" t="s">
        <v>72</v>
      </c>
      <c r="B11" s="2">
        <v>571.84</v>
      </c>
      <c r="C11" s="2">
        <v>79.0</v>
      </c>
      <c r="D11" s="2">
        <v>201.0</v>
      </c>
      <c r="E11" s="4">
        <f>61+79+79+52</f>
        <v>271</v>
      </c>
      <c r="N11" s="4">
        <f t="shared" si="1"/>
        <v>1122.84</v>
      </c>
    </row>
    <row r="12">
      <c r="A12" s="3" t="s">
        <v>73</v>
      </c>
      <c r="B12" s="2">
        <v>0.0</v>
      </c>
      <c r="C12" s="2">
        <v>0.0</v>
      </c>
      <c r="D12" s="2">
        <v>0.0</v>
      </c>
      <c r="E12" s="2">
        <v>0.0</v>
      </c>
      <c r="N12" s="4">
        <f t="shared" si="1"/>
        <v>0</v>
      </c>
    </row>
    <row r="13">
      <c r="A13" s="3" t="s">
        <v>74</v>
      </c>
      <c r="B13" s="2">
        <v>86.96</v>
      </c>
      <c r="C13" s="2">
        <v>56.29</v>
      </c>
      <c r="D13" s="2">
        <v>16.72</v>
      </c>
      <c r="E13" s="2">
        <v>4.0</v>
      </c>
      <c r="N13" s="4">
        <f t="shared" si="1"/>
        <v>163.97</v>
      </c>
    </row>
    <row r="14">
      <c r="A14" s="1" t="s">
        <v>75</v>
      </c>
      <c r="B14" s="4">
        <f t="shared" ref="B14:N14" si="2">sum(B2:B13)</f>
        <v>8979.8</v>
      </c>
      <c r="C14" s="4">
        <f t="shared" si="2"/>
        <v>2601.79</v>
      </c>
      <c r="D14" s="4">
        <f t="shared" si="2"/>
        <v>18713.77</v>
      </c>
      <c r="E14" s="4">
        <f t="shared" si="2"/>
        <v>2805</v>
      </c>
      <c r="F14" s="4">
        <f t="shared" si="2"/>
        <v>0</v>
      </c>
      <c r="G14" s="4">
        <f t="shared" si="2"/>
        <v>0</v>
      </c>
      <c r="H14" s="4">
        <f t="shared" si="2"/>
        <v>0</v>
      </c>
      <c r="I14" s="4">
        <f t="shared" si="2"/>
        <v>0</v>
      </c>
      <c r="J14" s="4">
        <f t="shared" si="2"/>
        <v>0</v>
      </c>
      <c r="K14" s="4">
        <f t="shared" si="2"/>
        <v>0</v>
      </c>
      <c r="L14" s="4">
        <f t="shared" si="2"/>
        <v>0</v>
      </c>
      <c r="M14" s="4">
        <f t="shared" si="2"/>
        <v>0</v>
      </c>
      <c r="N14" s="4">
        <f t="shared" si="2"/>
        <v>33100.36</v>
      </c>
    </row>
    <row r="17">
      <c r="A17" s="2" t="s">
        <v>76</v>
      </c>
    </row>
    <row r="18">
      <c r="A18" s="2" t="s">
        <v>77</v>
      </c>
      <c r="B18" s="2">
        <v>15308.0</v>
      </c>
      <c r="C18" s="2">
        <v>10239.0</v>
      </c>
      <c r="D18" s="2">
        <v>15679.0</v>
      </c>
    </row>
  </sheetData>
  <drawing r:id="rId4"/>
  <legacyDrawing r:id="rId5"/>
</worksheet>
</file>